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Dashboard\excel\"/>
    </mc:Choice>
  </mc:AlternateContent>
  <xr:revisionPtr revIDLastSave="0" documentId="13_ncr:1_{24890CD3-BA16-47A0-A18B-F6F86FF31814}" xr6:coauthVersionLast="47" xr6:coauthVersionMax="47" xr10:uidLastSave="{00000000-0000-0000-0000-000000000000}"/>
  <bookViews>
    <workbookView xWindow="3204" yWindow="3204" windowWidth="17280" windowHeight="8880" xr2:uid="{00000000-000D-0000-FFFF-FFFF00000000}"/>
  </bookViews>
  <sheets>
    <sheet name="Chapter" sheetId="1" r:id="rId1"/>
    <sheet name="Live Projects" sheetId="2" r:id="rId2"/>
    <sheet name="Pipeline" sheetId="3" r:id="rId3"/>
    <sheet name="Opex" sheetId="4" r:id="rId4"/>
    <sheet name="CRM Col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5" l="1"/>
  <c r="D14" i="5"/>
  <c r="C14" i="5"/>
  <c r="B14" i="5"/>
  <c r="E5" i="4"/>
  <c r="E4" i="4"/>
  <c r="E3" i="4"/>
  <c r="E2" i="4"/>
</calcChain>
</file>

<file path=xl/sharedStrings.xml><?xml version="1.0" encoding="utf-8"?>
<sst xmlns="http://schemas.openxmlformats.org/spreadsheetml/2006/main" count="126" uniqueCount="118">
  <si>
    <t>Goa Chapter</t>
  </si>
  <si>
    <t>Chapter settings</t>
  </si>
  <si>
    <t>id</t>
  </si>
  <si>
    <t>goa</t>
  </si>
  <si>
    <t>name</t>
  </si>
  <si>
    <t>accent</t>
  </si>
  <si>
    <t>amber</t>
  </si>
  <si>
    <t>timeZone</t>
  </si>
  <si>
    <t>Asia/Kolkata</t>
  </si>
  <si>
    <t>timeZoneLabel</t>
  </si>
  <si>
    <t>Goa, India</t>
  </si>
  <si>
    <t>CRM Collection year</t>
  </si>
  <si>
    <t>How to use this workbook</t>
  </si>
  <si>
    <t>Blue cells</t>
  </si>
  <si>
    <t>Type in these. Everything you maintain is blue.</t>
  </si>
  <si>
    <t>Black cells</t>
  </si>
  <si>
    <t>Formulas. Do not overwrite - they recalculate.</t>
  </si>
  <si>
    <t>Grey id column</t>
  </si>
  <si>
    <t>The join key. Never edit or reorder it.</t>
  </si>
  <si>
    <t>CRM Collection maps to Live Projects through it.</t>
  </si>
  <si>
    <t>Formats</t>
  </si>
  <si>
    <t>Money</t>
  </si>
  <si>
    <t>Whole rupees, e.g. 240000000. The dashboard shows ₹24Cr.</t>
  </si>
  <si>
    <t>Percentage of completion</t>
  </si>
  <si>
    <t>A number from 0 to 100, e.g. 82. Not 0.82.</t>
  </si>
  <si>
    <t>Expected handover / Onward</t>
  </si>
  <si>
    <t>Free text, e.g. Mar 2026 or Q3 2027.</t>
  </si>
  <si>
    <t>Handover value Delivered</t>
  </si>
  <si>
    <t>Spelled exactly, it shows as a green pill.</t>
  </si>
  <si>
    <t>Status</t>
  </si>
  <si>
    <t>Land acquired / Approvals in progress / Design stage /</t>
  </si>
  <si>
    <t>Yard slot booked. Anything else works, it just shows grey.</t>
  </si>
  <si>
    <t>Empty CRM month</t>
  </si>
  <si>
    <t>Leave blank. The dashboard shows a dash.</t>
  </si>
  <si>
    <t>Rows</t>
  </si>
  <si>
    <t>Row 2 down are real examples - overwrite them or add below.</t>
  </si>
  <si>
    <t>Adding a project</t>
  </si>
  <si>
    <t>Add the row in Live Projects, then add its column</t>
  </si>
  <si>
    <t>in CRM Collection with the same project name.</t>
  </si>
  <si>
    <t>Allocated amount + extra</t>
  </si>
  <si>
    <t>Calculated as Amount opex plus Extra (column B + C).</t>
  </si>
  <si>
    <t>Source of the seed values</t>
  </si>
  <si>
    <t>Placeholder figures supplied by the dashboard build,</t>
  </si>
  <si>
    <t>not real accounts. Replace them all.</t>
  </si>
  <si>
    <t>Live projects</t>
  </si>
  <si>
    <t>Percentage of completion (Lindsay)</t>
  </si>
  <si>
    <t>Total sold assets (CRM)</t>
  </si>
  <si>
    <t>Inventory (Lincoln)</t>
  </si>
  <si>
    <t>Expected outcome (Lindsay)</t>
  </si>
  <si>
    <t>Expected handover (Lindsay)</t>
  </si>
  <si>
    <t>Amount repaid to first project (Lindsay)</t>
  </si>
  <si>
    <t>Year started (CRM)</t>
  </si>
  <si>
    <t>Comments (Lincoln)</t>
  </si>
  <si>
    <t>id (do not edit)</t>
  </si>
  <si>
    <t>Project One</t>
  </si>
  <si>
    <t>Delivered</t>
  </si>
  <si>
    <t>Fully handed over, closing formalities done.</t>
  </si>
  <si>
    <t>goa-p1</t>
  </si>
  <si>
    <t>Project Two</t>
  </si>
  <si>
    <t>Mar 2026</t>
  </si>
  <si>
    <t>Finishing works on track; 6 units still open.</t>
  </si>
  <si>
    <t>goa-p2</t>
  </si>
  <si>
    <t>Project Three</t>
  </si>
  <si>
    <t>Dec 2026</t>
  </si>
  <si>
    <t>Structure complete, MEP in progress.</t>
  </si>
  <si>
    <t>goa-p3</t>
  </si>
  <si>
    <t>Project Four</t>
  </si>
  <si>
    <t>Q3 2027</t>
  </si>
  <si>
    <t>Foundation stage; launch pricing under review.</t>
  </si>
  <si>
    <t>goa-p4</t>
  </si>
  <si>
    <t>Pipeline project</t>
  </si>
  <si>
    <t>Onward (Lincoln)</t>
  </si>
  <si>
    <t>Inventory (Lincoln/Lindsay)</t>
  </si>
  <si>
    <t>Ticket size (Lincoln)</t>
  </si>
  <si>
    <t>Total cost of construction (Lincoln/Lindsay)</t>
  </si>
  <si>
    <t>Planned (Lincoln)</t>
  </si>
  <si>
    <t>Status (Lincoln)</t>
  </si>
  <si>
    <t>Pipeline One</t>
  </si>
  <si>
    <t>Apr 2026</t>
  </si>
  <si>
    <t>Land acquired</t>
  </si>
  <si>
    <t>goa-pl1</t>
  </si>
  <si>
    <t>Pipeline Two</t>
  </si>
  <si>
    <t>Oct 2026</t>
  </si>
  <si>
    <t>Approvals in progress</t>
  </si>
  <si>
    <t>goa-pl2</t>
  </si>
  <si>
    <t>Pipeline Three</t>
  </si>
  <si>
    <t>Q2 2027</t>
  </si>
  <si>
    <t>Design stage</t>
  </si>
  <si>
    <t>goa-pl3</t>
  </si>
  <si>
    <t>Opex</t>
  </si>
  <si>
    <t>Amount opex (Lincoln)</t>
  </si>
  <si>
    <t>Extra (Lincoln)</t>
  </si>
  <si>
    <t>Remark (Lincoln)</t>
  </si>
  <si>
    <t>Site office</t>
  </si>
  <si>
    <t>Lease renewed for the year.</t>
  </si>
  <si>
    <t>goa-o1</t>
  </si>
  <si>
    <t>Marketing</t>
  </si>
  <si>
    <t>Extra spend on the launch campaign.</t>
  </si>
  <si>
    <t>goa-o2</t>
  </si>
  <si>
    <t>Salaries</t>
  </si>
  <si>
    <t>goa-o3</t>
  </si>
  <si>
    <t>Maintenance</t>
  </si>
  <si>
    <t>AMC revised in April.</t>
  </si>
  <si>
    <t>goa-o4</t>
  </si>
  <si>
    <t>Month (Lendl)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</si>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</sst>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&quot;₹&quot;#,##0"/>
  </numFmts>
  <fonts count="8" x14ac:knownFonts="1">
    <font>
      <sz val="11"/>
      <color theme="1"/>
      <name val="Calibri"/>
      <family val="2"/>
      <scheme val="minor"/>
    </font>
    <font>
      <b/>
      <sz val="14"/>
      <color rgb="FF7A4A05"/>
      <name val="Arial"/>
    </font>
    <font>
      <sz val="10"/>
      <name val="Arial"/>
    </font>
    <font>
      <b/>
      <sz val="10"/>
      <name val="Arial"/>
    </font>
    <font>
      <b/>
      <sz val="10"/>
      <color rgb="FF7A4A05"/>
      <name val="Arial"/>
    </font>
    <font>
      <sz val="10"/>
      <color rgb="FF0000FF"/>
      <name val="Arial"/>
    </font>
    <font>
      <sz val="10"/>
      <color rgb="FF9C9C9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D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0" fontId="6" fillId="0" borderId="0" xfId="0" applyFont="1"/>
    <xf numFmtId="0" fontId="5" fillId="0" borderId="0" xfId="0" applyFont="1"/>
    <xf numFmtId="165" fontId="7" fillId="0" borderId="0" xfId="0" applyNumberFormat="1" applyFont="1"/>
    <xf numFmtId="0" fontId="4" fillId="2" borderId="0" xfId="0" applyFont="1" applyFill="1"/>
    <xf numFmtId="0" fontId="3" fillId="2" borderId="0" xfId="0" applyFont="1" applyFill="1"/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/>
  </sheetViews>
  <sheetFormatPr defaultRowHeight="14.4" x14ac:dyDescent="0.3"/>
  <cols>
    <col min="1" max="1" width="34" customWidth="1"/>
    <col min="2" max="2" width="64" customWidth="1"/>
  </cols>
  <sheetData>
    <row r="1" spans="1:2" ht="17.399999999999999" x14ac:dyDescent="0.3">
      <c r="A1" s="1" t="s">
        <v>0</v>
      </c>
    </row>
    <row r="2" spans="1:2" x14ac:dyDescent="0.3">
      <c r="A2" s="2"/>
      <c r="B2" s="3"/>
    </row>
    <row r="3" spans="1:2" x14ac:dyDescent="0.3">
      <c r="A3" s="4" t="s">
        <v>1</v>
      </c>
      <c r="B3" s="3"/>
    </row>
    <row r="4" spans="1:2" x14ac:dyDescent="0.3">
      <c r="A4" s="2" t="s">
        <v>2</v>
      </c>
      <c r="B4" s="3" t="s">
        <v>3</v>
      </c>
    </row>
    <row r="5" spans="1:2" x14ac:dyDescent="0.3">
      <c r="A5" s="2" t="s">
        <v>4</v>
      </c>
      <c r="B5" s="3" t="s">
        <v>0</v>
      </c>
    </row>
    <row r="6" spans="1:2" x14ac:dyDescent="0.3">
      <c r="A6" s="2" t="s">
        <v>5</v>
      </c>
      <c r="B6" s="3" t="s">
        <v>6</v>
      </c>
    </row>
    <row r="7" spans="1:2" x14ac:dyDescent="0.3">
      <c r="A7" s="2" t="s">
        <v>7</v>
      </c>
      <c r="B7" s="3" t="s">
        <v>8</v>
      </c>
    </row>
    <row r="8" spans="1:2" x14ac:dyDescent="0.3">
      <c r="A8" s="2" t="s">
        <v>9</v>
      </c>
      <c r="B8" s="3" t="s">
        <v>10</v>
      </c>
    </row>
    <row r="9" spans="1:2" x14ac:dyDescent="0.3">
      <c r="A9" s="2" t="s">
        <v>11</v>
      </c>
      <c r="B9" s="3">
        <v>2026</v>
      </c>
    </row>
    <row r="10" spans="1:2" x14ac:dyDescent="0.3">
      <c r="A10" s="2"/>
      <c r="B10" s="3"/>
    </row>
    <row r="11" spans="1:2" x14ac:dyDescent="0.3">
      <c r="A11" s="4" t="s">
        <v>12</v>
      </c>
      <c r="B11" s="3"/>
    </row>
    <row r="12" spans="1:2" x14ac:dyDescent="0.3">
      <c r="A12" s="2" t="s">
        <v>13</v>
      </c>
      <c r="B12" s="3" t="s">
        <v>14</v>
      </c>
    </row>
    <row r="13" spans="1:2" x14ac:dyDescent="0.3">
      <c r="A13" s="2" t="s">
        <v>15</v>
      </c>
      <c r="B13" s="3" t="s">
        <v>16</v>
      </c>
    </row>
    <row r="14" spans="1:2" x14ac:dyDescent="0.3">
      <c r="A14" s="2" t="s">
        <v>17</v>
      </c>
      <c r="B14" s="3" t="s">
        <v>18</v>
      </c>
    </row>
    <row r="15" spans="1:2" x14ac:dyDescent="0.3">
      <c r="A15" s="2"/>
      <c r="B15" s="3" t="s">
        <v>19</v>
      </c>
    </row>
    <row r="16" spans="1:2" x14ac:dyDescent="0.3">
      <c r="A16" s="2"/>
      <c r="B16" s="3"/>
    </row>
    <row r="17" spans="1:2" x14ac:dyDescent="0.3">
      <c r="A17" s="4" t="s">
        <v>20</v>
      </c>
      <c r="B17" s="3"/>
    </row>
    <row r="18" spans="1:2" x14ac:dyDescent="0.3">
      <c r="A18" s="2" t="s">
        <v>21</v>
      </c>
      <c r="B18" s="3" t="s">
        <v>22</v>
      </c>
    </row>
    <row r="19" spans="1:2" x14ac:dyDescent="0.3">
      <c r="A19" s="2" t="s">
        <v>23</v>
      </c>
      <c r="B19" s="3" t="s">
        <v>24</v>
      </c>
    </row>
    <row r="20" spans="1:2" x14ac:dyDescent="0.3">
      <c r="A20" s="2" t="s">
        <v>25</v>
      </c>
      <c r="B20" s="3" t="s">
        <v>26</v>
      </c>
    </row>
    <row r="21" spans="1:2" x14ac:dyDescent="0.3">
      <c r="A21" s="2" t="s">
        <v>27</v>
      </c>
      <c r="B21" s="3" t="s">
        <v>28</v>
      </c>
    </row>
    <row r="22" spans="1:2" x14ac:dyDescent="0.3">
      <c r="A22" s="2" t="s">
        <v>29</v>
      </c>
      <c r="B22" s="3" t="s">
        <v>30</v>
      </c>
    </row>
    <row r="23" spans="1:2" x14ac:dyDescent="0.3">
      <c r="A23" s="2"/>
      <c r="B23" s="3" t="s">
        <v>31</v>
      </c>
    </row>
    <row r="24" spans="1:2" x14ac:dyDescent="0.3">
      <c r="A24" s="2" t="s">
        <v>32</v>
      </c>
      <c r="B24" s="3" t="s">
        <v>33</v>
      </c>
    </row>
    <row r="25" spans="1:2" x14ac:dyDescent="0.3">
      <c r="A25" s="2"/>
      <c r="B25" s="3"/>
    </row>
    <row r="26" spans="1:2" x14ac:dyDescent="0.3">
      <c r="A26" s="2" t="s">
        <v>34</v>
      </c>
      <c r="B26" s="3" t="s">
        <v>35</v>
      </c>
    </row>
    <row r="27" spans="1:2" x14ac:dyDescent="0.3">
      <c r="A27" s="2" t="s">
        <v>36</v>
      </c>
      <c r="B27" s="3" t="s">
        <v>37</v>
      </c>
    </row>
    <row r="28" spans="1:2" x14ac:dyDescent="0.3">
      <c r="A28" s="2"/>
      <c r="B28" s="3" t="s">
        <v>38</v>
      </c>
    </row>
    <row r="29" spans="1:2" x14ac:dyDescent="0.3">
      <c r="A29" s="2" t="s">
        <v>39</v>
      </c>
      <c r="B29" s="3" t="s">
        <v>40</v>
      </c>
    </row>
    <row r="30" spans="1:2" x14ac:dyDescent="0.3">
      <c r="A30" s="2"/>
      <c r="B30" s="3"/>
    </row>
    <row r="31" spans="1:2" x14ac:dyDescent="0.3">
      <c r="A31" s="2" t="s">
        <v>41</v>
      </c>
      <c r="B31" s="3" t="s">
        <v>42</v>
      </c>
    </row>
    <row r="32" spans="1:2" x14ac:dyDescent="0.3">
      <c r="A32" s="2"/>
      <c r="B32" s="3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14" customWidth="1"/>
    <col min="4" max="4" width="12" customWidth="1"/>
    <col min="5" max="5" width="18" customWidth="1"/>
    <col min="6" max="6" width="16" customWidth="1"/>
    <col min="7" max="7" width="20" customWidth="1"/>
    <col min="8" max="8" width="12" customWidth="1"/>
    <col min="9" max="9" width="46" customWidth="1"/>
    <col min="10" max="10" width="14" customWidth="1"/>
  </cols>
  <sheetData>
    <row r="1" spans="1:10" ht="34.049999999999997" customHeight="1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</row>
    <row r="2" spans="1:10" x14ac:dyDescent="0.3">
      <c r="A2" s="6" t="s">
        <v>54</v>
      </c>
      <c r="B2" s="7">
        <v>100</v>
      </c>
      <c r="C2" s="8">
        <v>24</v>
      </c>
      <c r="D2" s="8">
        <v>0</v>
      </c>
      <c r="E2" s="9">
        <v>180000000</v>
      </c>
      <c r="F2" s="6" t="s">
        <v>55</v>
      </c>
      <c r="G2" s="9">
        <v>0</v>
      </c>
      <c r="H2" s="10">
        <v>2019</v>
      </c>
      <c r="I2" s="6" t="s">
        <v>56</v>
      </c>
      <c r="J2" s="11" t="s">
        <v>57</v>
      </c>
    </row>
    <row r="3" spans="1:10" x14ac:dyDescent="0.3">
      <c r="A3" s="6" t="s">
        <v>58</v>
      </c>
      <c r="B3" s="7">
        <v>82</v>
      </c>
      <c r="C3" s="8">
        <v>18</v>
      </c>
      <c r="D3" s="8">
        <v>6</v>
      </c>
      <c r="E3" s="9">
        <v>240000000</v>
      </c>
      <c r="F3" s="6" t="s">
        <v>59</v>
      </c>
      <c r="G3" s="9">
        <v>45000000</v>
      </c>
      <c r="H3" s="10">
        <v>2021</v>
      </c>
      <c r="I3" s="6" t="s">
        <v>60</v>
      </c>
      <c r="J3" s="11" t="s">
        <v>61</v>
      </c>
    </row>
    <row r="4" spans="1:10" x14ac:dyDescent="0.3">
      <c r="A4" s="6" t="s">
        <v>62</v>
      </c>
      <c r="B4" s="7">
        <v>54</v>
      </c>
      <c r="C4" s="8">
        <v>11</v>
      </c>
      <c r="D4" s="8">
        <v>14</v>
      </c>
      <c r="E4" s="9">
        <v>310000000</v>
      </c>
      <c r="F4" s="6" t="s">
        <v>63</v>
      </c>
      <c r="G4" s="9">
        <v>20000000</v>
      </c>
      <c r="H4" s="10">
        <v>2023</v>
      </c>
      <c r="I4" s="6" t="s">
        <v>64</v>
      </c>
      <c r="J4" s="11" t="s">
        <v>65</v>
      </c>
    </row>
    <row r="5" spans="1:10" x14ac:dyDescent="0.3">
      <c r="A5" s="6" t="s">
        <v>66</v>
      </c>
      <c r="B5" s="7">
        <v>18</v>
      </c>
      <c r="C5" s="8">
        <v>4</v>
      </c>
      <c r="D5" s="8">
        <v>22</v>
      </c>
      <c r="E5" s="9">
        <v>400000000</v>
      </c>
      <c r="F5" s="6" t="s">
        <v>67</v>
      </c>
      <c r="G5" s="9">
        <v>0</v>
      </c>
      <c r="H5" s="10">
        <v>2025</v>
      </c>
      <c r="I5" s="6" t="s">
        <v>68</v>
      </c>
      <c r="J5" s="11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4" width="16" customWidth="1"/>
    <col min="5" max="5" width="22" customWidth="1"/>
    <col min="6" max="6" width="12" customWidth="1"/>
    <col min="7" max="7" width="22" customWidth="1"/>
    <col min="8" max="8" width="14" customWidth="1"/>
  </cols>
  <sheetData>
    <row r="1" spans="1:8" ht="34.049999999999997" customHeight="1" x14ac:dyDescent="0.3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53</v>
      </c>
    </row>
    <row r="2" spans="1:8" x14ac:dyDescent="0.3">
      <c r="A2" s="6" t="s">
        <v>77</v>
      </c>
      <c r="B2" s="6" t="s">
        <v>78</v>
      </c>
      <c r="C2" s="8">
        <v>30</v>
      </c>
      <c r="D2" s="9">
        <v>25000000</v>
      </c>
      <c r="E2" s="9">
        <v>450000000</v>
      </c>
      <c r="F2" s="8">
        <v>30</v>
      </c>
      <c r="G2" s="6" t="s">
        <v>79</v>
      </c>
      <c r="H2" s="11" t="s">
        <v>80</v>
      </c>
    </row>
    <row r="3" spans="1:8" x14ac:dyDescent="0.3">
      <c r="A3" s="6" t="s">
        <v>81</v>
      </c>
      <c r="B3" s="6" t="s">
        <v>82</v>
      </c>
      <c r="C3" s="8">
        <v>18</v>
      </c>
      <c r="D3" s="9">
        <v>32000000</v>
      </c>
      <c r="E3" s="9">
        <v>380000000</v>
      </c>
      <c r="F3" s="8">
        <v>18</v>
      </c>
      <c r="G3" s="6" t="s">
        <v>83</v>
      </c>
      <c r="H3" s="11" t="s">
        <v>84</v>
      </c>
    </row>
    <row r="4" spans="1:8" x14ac:dyDescent="0.3">
      <c r="A4" s="6" t="s">
        <v>85</v>
      </c>
      <c r="B4" s="6" t="s">
        <v>86</v>
      </c>
      <c r="C4" s="8">
        <v>42</v>
      </c>
      <c r="D4" s="9">
        <v>18000000</v>
      </c>
      <c r="E4" s="9">
        <v>520000000</v>
      </c>
      <c r="F4" s="8">
        <v>48</v>
      </c>
      <c r="G4" s="6" t="s">
        <v>87</v>
      </c>
      <c r="H4" s="11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14" customWidth="1"/>
    <col min="4" max="4" width="40" customWidth="1"/>
    <col min="5" max="5" width="20" customWidth="1"/>
    <col min="6" max="6" width="14" customWidth="1"/>
  </cols>
  <sheetData>
    <row r="1" spans="1:6" ht="34.049999999999997" customHeight="1" x14ac:dyDescent="0.3">
      <c r="A1" s="5" t="s">
        <v>89</v>
      </c>
      <c r="B1" s="5" t="s">
        <v>90</v>
      </c>
      <c r="C1" s="5" t="s">
        <v>91</v>
      </c>
      <c r="D1" s="5" t="s">
        <v>92</v>
      </c>
      <c r="E1" s="5" t="s">
        <v>39</v>
      </c>
      <c r="F1" s="5" t="s">
        <v>53</v>
      </c>
    </row>
    <row r="2" spans="1:6" x14ac:dyDescent="0.3">
      <c r="A2" s="12" t="s">
        <v>93</v>
      </c>
      <c r="B2" s="9">
        <v>1200000</v>
      </c>
      <c r="C2" s="9">
        <v>150000</v>
      </c>
      <c r="D2" s="6" t="s">
        <v>94</v>
      </c>
      <c r="E2" s="13">
        <f>B2+C2</f>
        <v>1350000</v>
      </c>
      <c r="F2" s="11" t="s">
        <v>95</v>
      </c>
    </row>
    <row r="3" spans="1:6" x14ac:dyDescent="0.3">
      <c r="A3" s="12" t="s">
        <v>96</v>
      </c>
      <c r="B3" s="9">
        <v>3500000</v>
      </c>
      <c r="C3" s="9">
        <v>400000</v>
      </c>
      <c r="D3" s="6" t="s">
        <v>97</v>
      </c>
      <c r="E3" s="13">
        <f>B3+C3</f>
        <v>3900000</v>
      </c>
      <c r="F3" s="11" t="s">
        <v>98</v>
      </c>
    </row>
    <row r="4" spans="1:6" x14ac:dyDescent="0.3">
      <c r="A4" s="12" t="s">
        <v>99</v>
      </c>
      <c r="B4" s="9">
        <v>8400000</v>
      </c>
      <c r="C4" s="9">
        <v>0</v>
      </c>
      <c r="D4" s="6"/>
      <c r="E4" s="13">
        <f>B4+C4</f>
        <v>8400000</v>
      </c>
      <c r="F4" s="11" t="s">
        <v>100</v>
      </c>
    </row>
    <row r="5" spans="1:6" x14ac:dyDescent="0.3">
      <c r="A5" s="12" t="s">
        <v>101</v>
      </c>
      <c r="B5" s="9">
        <v>950000</v>
      </c>
      <c r="C5" s="9">
        <v>75000</v>
      </c>
      <c r="D5" s="6" t="s">
        <v>102</v>
      </c>
      <c r="E5" s="13">
        <f>B5+C5</f>
        <v>1025000</v>
      </c>
      <c r="F5" s="11" t="s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5" width="18" customWidth="1"/>
  </cols>
  <sheetData>
    <row r="1" spans="1:5" ht="34.049999999999997" customHeight="1" x14ac:dyDescent="0.3">
      <c r="A1" s="14" t="s">
        <v>104</v>
      </c>
      <c r="B1" s="5" t="s">
        <v>54</v>
      </c>
      <c r="C1" s="5" t="s">
        <v>58</v>
      </c>
      <c r="D1" s="5" t="s">
        <v>62</v>
      </c>
      <c r="E1" s="5" t="s">
        <v>66</v>
      </c>
    </row>
    <row r="2" spans="1:5" x14ac:dyDescent="0.3">
      <c r="A2" s="2" t="s">
        <v>105</v>
      </c>
      <c r="B2" s="9">
        <v>2000000</v>
      </c>
      <c r="C2" s="9">
        <v>7200000</v>
      </c>
      <c r="D2" s="9">
        <v>3400000</v>
      </c>
      <c r="E2" s="9"/>
    </row>
    <row r="3" spans="1:5" x14ac:dyDescent="0.3">
      <c r="A3" s="2" t="s">
        <v>106</v>
      </c>
      <c r="B3" s="9">
        <v>1500000</v>
      </c>
      <c r="C3" s="9">
        <v>6800000</v>
      </c>
      <c r="D3" s="9">
        <v>4100000</v>
      </c>
      <c r="E3" s="9"/>
    </row>
    <row r="4" spans="1:5" x14ac:dyDescent="0.3">
      <c r="A4" s="2" t="s">
        <v>107</v>
      </c>
      <c r="B4" s="9">
        <v>600000</v>
      </c>
      <c r="C4" s="9">
        <v>8100000</v>
      </c>
      <c r="D4" s="9">
        <v>3900000</v>
      </c>
      <c r="E4" s="9"/>
    </row>
    <row r="5" spans="1:5" x14ac:dyDescent="0.3">
      <c r="A5" s="2" t="s">
        <v>108</v>
      </c>
      <c r="B5" s="9"/>
      <c r="C5" s="9">
        <v>5400000</v>
      </c>
      <c r="D5" s="9">
        <v>5200000</v>
      </c>
      <c r="E5" s="9">
        <v>1200000</v>
      </c>
    </row>
    <row r="6" spans="1:5" x14ac:dyDescent="0.3">
      <c r="A6" s="2" t="s">
        <v>109</v>
      </c>
      <c r="B6" s="9"/>
      <c r="C6" s="9">
        <v>7900000</v>
      </c>
      <c r="D6" s="9">
        <v>4600000</v>
      </c>
      <c r="E6" s="9">
        <v>2400000</v>
      </c>
    </row>
    <row r="7" spans="1:5" x14ac:dyDescent="0.3">
      <c r="A7" s="2" t="s">
        <v>110</v>
      </c>
      <c r="B7" s="9"/>
      <c r="C7" s="9">
        <v>6200000</v>
      </c>
      <c r="D7" s="9">
        <v>5800000</v>
      </c>
      <c r="E7" s="9">
        <v>1900000</v>
      </c>
    </row>
    <row r="8" spans="1:5" x14ac:dyDescent="0.3">
      <c r="A8" s="2" t="s">
        <v>111</v>
      </c>
      <c r="B8" s="9"/>
      <c r="C8" s="9">
        <v>8600000</v>
      </c>
      <c r="D8" s="9">
        <v>4300000</v>
      </c>
      <c r="E8" s="9">
        <v>3100000</v>
      </c>
    </row>
    <row r="9" spans="1:5" x14ac:dyDescent="0.3">
      <c r="A9" s="2" t="s">
        <v>112</v>
      </c>
      <c r="B9" s="9"/>
      <c r="C9" s="9">
        <v>7100000</v>
      </c>
      <c r="D9" s="9">
        <v>6000000</v>
      </c>
      <c r="E9" s="9">
        <v>2700000</v>
      </c>
    </row>
    <row r="10" spans="1:5" x14ac:dyDescent="0.3">
      <c r="A10" s="2" t="s">
        <v>113</v>
      </c>
      <c r="B10" s="9"/>
      <c r="C10" s="9"/>
      <c r="D10" s="9"/>
      <c r="E10" s="9"/>
    </row>
    <row r="11" spans="1:5" x14ac:dyDescent="0.3">
      <c r="A11" s="2" t="s">
        <v>114</v>
      </c>
      <c r="B11" s="9"/>
      <c r="C11" s="9"/>
      <c r="D11" s="9"/>
      <c r="E11" s="9"/>
    </row>
    <row r="12" spans="1:5" x14ac:dyDescent="0.3">
      <c r="A12" s="2" t="s">
        <v>115</v>
      </c>
      <c r="B12" s="9"/>
      <c r="C12" s="9"/>
      <c r="D12" s="9"/>
      <c r="E12" s="9"/>
    </row>
    <row r="13" spans="1:5" x14ac:dyDescent="0.3">
      <c r="A13" s="2" t="s">
        <v>116</v>
      </c>
      <c r="B13" s="9"/>
      <c r="C13" s="9"/>
      <c r="D13" s="9"/>
      <c r="E13" s="9"/>
    </row>
    <row r="14" spans="1:5" x14ac:dyDescent="0.3">
      <c r="A14" s="15" t="s">
        <v>117</v>
      </c>
      <c r="B14" s="16">
        <f>SUM(B2:B13)</f>
        <v>4100000</v>
      </c>
      <c r="C14" s="16">
        <f>SUM(C2:C13)</f>
        <v>57300000</v>
      </c>
      <c r="D14" s="16">
        <f>SUM(D2:D13)</f>
        <v>37300000</v>
      </c>
      <c r="E14" s="16">
        <f>SUM(E2:E13)</f>
        <v>11300000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Chapter</vt:lpstr>
      <vt:lpstr>Live Projects</vt:lpstr>
      <vt:lpstr>Pipeline</vt:lpstr>
      <vt:lpstr>Opex</vt:lpstr>
      <vt:lpstr>CRM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2026-09-02T06:27:15Z</dcterms:created>
  <dcterms:modified xsi:type="dcterms:W3CDTF">2026-09-02T06:28:35Z</dcterms:modified>
</cp:coreProperties>
</file>